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ntent Plan" sheetId="1" state="visible" r:id="rId3"/>
    <sheet name="📅 Content Calendar" sheetId="2" state="visible" r:id="rId4"/>
    <sheet name="📊 KPIs &amp; Repor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<sst xmlns="http://schemas.openxmlformats.org/spreadsheetml/2006/main" count="288" uniqueCount="224">
  <si>
    <t xml:space="preserve">CONTENT PLAN  —  خطة المحتوى</t>
  </si>
  <si>
    <t xml:space="preserve">العميل / Client</t>
  </si>
  <si>
    <t xml:space="preserve">Mo Brand</t>
  </si>
  <si>
    <t xml:space="preserve">الشهر / Month</t>
  </si>
  <si>
    <t xml:space="preserve">أبريل 2026</t>
  </si>
  <si>
    <t xml:space="preserve">المسؤول / Owner</t>
  </si>
  <si>
    <t xml:space="preserve">أحمد</t>
  </si>
  <si>
    <t xml:space="preserve">الهدف / Objective</t>
  </si>
  <si>
    <t xml:space="preserve">Lead Generation</t>
  </si>
  <si>
    <t xml:space="preserve">25,000 EGP</t>
  </si>
  <si>
    <t xml:space="preserve">الميزانية / Budget</t>
  </si>
  <si>
    <t xml:space="preserve">رقم</t>
  </si>
  <si>
    <t xml:space="preserve">عنوان البوست / Post Title</t>
  </si>
  <si>
    <t xml:space="preserve">المحور / Pillar</t>
  </si>
  <si>
    <t xml:space="preserve">النوع / Format</t>
  </si>
  <si>
    <t xml:space="preserve">المنصة / Platform</t>
  </si>
  <si>
    <t xml:space="preserve">تاريخ النشر</t>
  </si>
  <si>
    <t xml:space="preserve">الوقت</t>
  </si>
  <si>
    <t xml:space="preserve">الكابشن / Caption</t>
  </si>
  <si>
    <t xml:space="preserve">الكلمات المفتاحية</t>
  </si>
  <si>
    <t xml:space="preserve">الـ CTA</t>
  </si>
  <si>
    <t xml:space="preserve">الكريتيف</t>
  </si>
  <si>
    <t xml:space="preserve">الحالة / Status</t>
  </si>
  <si>
    <t xml:space="preserve">الملاحظات</t>
  </si>
  <si>
    <t xml:space="preserve">01</t>
  </si>
  <si>
    <t xml:space="preserve">كورسيه الربيع — إيه اللي يميزه؟</t>
  </si>
  <si>
    <t xml:space="preserve">منتجات وعروض</t>
  </si>
  <si>
    <t xml:space="preserve">كاروسيل</t>
  </si>
  <si>
    <t xml:space="preserve">Facebook+Instagram</t>
  </si>
  <si>
    <t xml:space="preserve">01/04/2026</t>
  </si>
  <si>
    <t xml:space="preserve">07:00 م</t>
  </si>
  <si>
    <t xml:space="preserve">اكتشفي راحة يومك مع كورسيه موبراند الجديد...</t>
  </si>
  <si>
    <t xml:space="preserve">كورسيه, موضة, راحة</t>
  </si>
  <si>
    <t xml:space="preserve">اشتري دلوقتي</t>
  </si>
  <si>
    <t xml:space="preserve">جرافيك</t>
  </si>
  <si>
    <t xml:space="preserve">Approved</t>
  </si>
  <si>
    <t xml:space="preserve">02</t>
  </si>
  <si>
    <t xml:space="preserve">5 أسباب تخليكي تلبسي كورسيه يومياً</t>
  </si>
  <si>
    <t xml:space="preserve">تعليم وتوعية</t>
  </si>
  <si>
    <t xml:space="preserve">فيديو قصير</t>
  </si>
  <si>
    <t xml:space="preserve">TikTok</t>
  </si>
  <si>
    <t xml:space="preserve">02/04/2026</t>
  </si>
  <si>
    <t xml:space="preserve">09:00 م</t>
  </si>
  <si>
    <t xml:space="preserve">هل فكرتي يومًا ليه الكورسيه مش بس للمناسبات?</t>
  </si>
  <si>
    <t xml:space="preserve">كورسيه طبي, نصائح</t>
  </si>
  <si>
    <t xml:space="preserve">اعرفي أكتر</t>
  </si>
  <si>
    <t xml:space="preserve">فيديو مطلوب</t>
  </si>
  <si>
    <t xml:space="preserve">In Review</t>
  </si>
  <si>
    <t xml:space="preserve">03</t>
  </si>
  <si>
    <t xml:space="preserve">مراجعة عميلة — تجربة ريم</t>
  </si>
  <si>
    <t xml:space="preserve">تفاعل وUGC</t>
  </si>
  <si>
    <t xml:space="preserve">صورة ثابتة</t>
  </si>
  <si>
    <t xml:space="preserve">Instagram</t>
  </si>
  <si>
    <t xml:space="preserve">04/04/2026</t>
  </si>
  <si>
    <t xml:space="preserve">06:00 م</t>
  </si>
  <si>
    <t xml:space="preserve">"لبستُه لأول مرة وحسيت بالفرق فوراً" — ريم</t>
  </si>
  <si>
    <t xml:space="preserve">مراجعات, تجارب</t>
  </si>
  <si>
    <t xml:space="preserve">تواصلي معنا</t>
  </si>
  <si>
    <t xml:space="preserve">UGC</t>
  </si>
  <si>
    <t xml:space="preserve">04</t>
  </si>
  <si>
    <t xml:space="preserve">عيد الأم — هدية بمعنى الكلمة</t>
  </si>
  <si>
    <t xml:space="preserve">مناسبات</t>
  </si>
  <si>
    <t xml:space="preserve">06/04/2026</t>
  </si>
  <si>
    <t xml:space="preserve">08:00 م</t>
  </si>
  <si>
    <t xml:space="preserve">أهدي أمك راحة حقيقية هالسنة...</t>
  </si>
  <si>
    <t xml:space="preserve">عيد الأم, هدايا</t>
  </si>
  <si>
    <t xml:space="preserve">Scheduled</t>
  </si>
  <si>
    <t xml:space="preserve">05</t>
  </si>
  <si>
    <t xml:space="preserve">قياسات الكورسيه — دليلك الكامل</t>
  </si>
  <si>
    <t xml:space="preserve">Infographic</t>
  </si>
  <si>
    <t xml:space="preserve">08/04/2026</t>
  </si>
  <si>
    <t xml:space="preserve">07:30 م</t>
  </si>
  <si>
    <t xml:space="preserve">مش عارفة مقاسك؟ دليلنا هيساعدك...</t>
  </si>
  <si>
    <t xml:space="preserve">مقاسات, شراء</t>
  </si>
  <si>
    <t xml:space="preserve">Draft</t>
  </si>
  <si>
    <t xml:space="preserve">06</t>
  </si>
  <si>
    <t xml:space="preserve">فلاش سيل — 48 ساعة بس!</t>
  </si>
  <si>
    <t xml:space="preserve">Story</t>
  </si>
  <si>
    <t xml:space="preserve">10/04/2026</t>
  </si>
  <si>
    <t xml:space="preserve">12:00 م</t>
  </si>
  <si>
    <t xml:space="preserve">عرض خاص لمتابعينا الأعزاء — 48 ساعة فقط...</t>
  </si>
  <si>
    <t xml:space="preserve">سيل, عروض</t>
  </si>
  <si>
    <t xml:space="preserve">07</t>
  </si>
  <si>
    <t xml:space="preserve">خلف الكواليس — كيف بنصنع الكورسيه</t>
  </si>
  <si>
    <t xml:space="preserve">براند وقيم</t>
  </si>
  <si>
    <t xml:space="preserve">Reel</t>
  </si>
  <si>
    <t xml:space="preserve">12/04/2026</t>
  </si>
  <si>
    <t xml:space="preserve">06:30 م</t>
  </si>
  <si>
    <t xml:space="preserve">رحلة كل كورسيه من الخيط لحد إيديكي...</t>
  </si>
  <si>
    <t xml:space="preserve">براند, صناعة</t>
  </si>
  <si>
    <t xml:space="preserve">08</t>
  </si>
  <si>
    <t xml:space="preserve">مسابقة — شاركي صورتك واكسبي!</t>
  </si>
  <si>
    <t xml:space="preserve">Facebook</t>
  </si>
  <si>
    <t xml:space="preserve">14/04/2026</t>
  </si>
  <si>
    <t xml:space="preserve">05:00 م</t>
  </si>
  <si>
    <t xml:space="preserve">شاركينا صورتك بالكورسيه وهنختار الفايزة!</t>
  </si>
  <si>
    <t xml:space="preserve">مسابقة, تفاعل</t>
  </si>
  <si>
    <t xml:space="preserve">شاركي رأيك</t>
  </si>
  <si>
    <t xml:space="preserve">09</t>
  </si>
  <si>
    <t xml:space="preserve">كورسيه السفر — رفيقتك في كل مكان</t>
  </si>
  <si>
    <t xml:space="preserve">16/04/2026</t>
  </si>
  <si>
    <t xml:space="preserve">خفيف، مريح، ومثالي للسفر — شوفي الفرق!</t>
  </si>
  <si>
    <t xml:space="preserve">سفر, موضة</t>
  </si>
  <si>
    <t xml:space="preserve">احجزي مجانًا</t>
  </si>
  <si>
    <t xml:space="preserve">10</t>
  </si>
  <si>
    <t xml:space="preserve">نصيحة الأسبوع — كيف تحافظي على شكله</t>
  </si>
  <si>
    <t xml:space="preserve">18/04/2026</t>
  </si>
  <si>
    <t xml:space="preserve">٣ خطوات تضمني إن كورسيهك يفضل زي الجديد...</t>
  </si>
  <si>
    <t xml:space="preserve">عناية, نصائح</t>
  </si>
  <si>
    <t xml:space="preserve">11</t>
  </si>
  <si>
    <t xml:space="preserve">كولابو — موبراند × بلوجر الأسبوع</t>
  </si>
  <si>
    <t xml:space="preserve">20/04/2026</t>
  </si>
  <si>
    <t xml:space="preserve">لما البلوجر المفضلة عندك تختار موبراند...</t>
  </si>
  <si>
    <t xml:space="preserve">كولابو, انفلونسر</t>
  </si>
  <si>
    <t xml:space="preserve">12</t>
  </si>
  <si>
    <t xml:space="preserve">شهر رمضان — كورسيه التحضيرات</t>
  </si>
  <si>
    <t xml:space="preserve">الكل</t>
  </si>
  <si>
    <t xml:space="preserve">22/04/2026</t>
  </si>
  <si>
    <t xml:space="preserve">05:30 م</t>
  </si>
  <si>
    <t xml:space="preserve">استعدي لأجمل مناسبة بأجمل إطلالة...</t>
  </si>
  <si>
    <t xml:space="preserve">رمضان, موضة</t>
  </si>
  <si>
    <t xml:space="preserve">ملخص خطة المحتوى</t>
  </si>
  <si>
    <t xml:space="preserve">إجمالي البوستات المخططة</t>
  </si>
  <si>
    <t xml:space="preserve">بوستات Approved</t>
  </si>
  <si>
    <t xml:space="preserve">بوستات Published</t>
  </si>
  <si>
    <t xml:space="preserve">نسبة الإنجاز</t>
  </si>
  <si>
    <t xml:space="preserve">بوستات Draft / Pending</t>
  </si>
  <si>
    <t xml:space="preserve">CONTENT CALENDAR  —  أبريل 2026</t>
  </si>
  <si>
    <t xml:space="preserve">الشهر: أبريل 2026</t>
  </si>
  <si>
    <t xml:space="preserve">العميل: Mo Brand</t>
  </si>
  <si>
    <t xml:space="preserve">إجمالي البوستات المخططة: 30</t>
  </si>
  <si>
    <t xml:space="preserve">Published ✓</t>
  </si>
  <si>
    <t xml:space="preserve">Scheduled ●</t>
  </si>
  <si>
    <t xml:space="preserve">Draft ○</t>
  </si>
  <si>
    <t xml:space="preserve">القناة / البُعد</t>
  </si>
  <si>
    <t xml:space="preserve">1
الثلاثاء</t>
  </si>
  <si>
    <t xml:space="preserve">2
الأربعاء</t>
  </si>
  <si>
    <t xml:space="preserve">3
الخميس</t>
  </si>
  <si>
    <t xml:space="preserve">4
الجمعة</t>
  </si>
  <si>
    <t xml:space="preserve">5
السبت</t>
  </si>
  <si>
    <t xml:space="preserve">6
الأحد</t>
  </si>
  <si>
    <t xml:space="preserve">7
الاثنين</t>
  </si>
  <si>
    <t xml:space="preserve">8
الثلاثاء</t>
  </si>
  <si>
    <t xml:space="preserve">9
الأربعاء</t>
  </si>
  <si>
    <t xml:space="preserve">10
الخميس</t>
  </si>
  <si>
    <t xml:space="preserve">11
الجمعة</t>
  </si>
  <si>
    <t xml:space="preserve">12
السبت</t>
  </si>
  <si>
    <t xml:space="preserve">13
الأحد</t>
  </si>
  <si>
    <t xml:space="preserve">14
الاثنين</t>
  </si>
  <si>
    <t xml:space="preserve">15
الثلاثاء</t>
  </si>
  <si>
    <t xml:space="preserve">16
الأربعاء</t>
  </si>
  <si>
    <t xml:space="preserve">17
الخميس</t>
  </si>
  <si>
    <t xml:space="preserve">18
الجمعة</t>
  </si>
  <si>
    <t xml:space="preserve">19
السبت</t>
  </si>
  <si>
    <t xml:space="preserve">20
الأحد</t>
  </si>
  <si>
    <t xml:space="preserve">21
الاثنين</t>
  </si>
  <si>
    <t xml:space="preserve">22
الثلاثاء</t>
  </si>
  <si>
    <t xml:space="preserve">23
الأربعاء</t>
  </si>
  <si>
    <t xml:space="preserve">24
الخميس</t>
  </si>
  <si>
    <t xml:space="preserve">25
الجمعة</t>
  </si>
  <si>
    <t xml:space="preserve">26
السبت</t>
  </si>
  <si>
    <t xml:space="preserve">27
الأحد</t>
  </si>
  <si>
    <t xml:space="preserve">28
الاثنين</t>
  </si>
  <si>
    <t xml:space="preserve">29
الثلاثاء</t>
  </si>
  <si>
    <t xml:space="preserve">30
الأربعاء</t>
  </si>
  <si>
    <t xml:space="preserve">31
الخميس</t>
  </si>
  <si>
    <t xml:space="preserve">مسابقة
[صورة]</t>
  </si>
  <si>
    <t xml:space="preserve">جديد الكوليكشن
[صورة]</t>
  </si>
  <si>
    <t xml:space="preserve">Instagram Feed</t>
  </si>
  <si>
    <t xml:space="preserve">كورسيه الربيع
[كاروسيل]</t>
  </si>
  <si>
    <t xml:space="preserve">مراجعة ريم
[صورة]</t>
  </si>
  <si>
    <t xml:space="preserve">دليل القياسات
[Infographic]</t>
  </si>
  <si>
    <t xml:space="preserve">خلف الكواليس
[Reel]</t>
  </si>
  <si>
    <t xml:space="preserve">نصيحة الأسبوع
[Infographic]</t>
  </si>
  <si>
    <t xml:space="preserve">كولابو بلوجر
[Reel]</t>
  </si>
  <si>
    <t xml:space="preserve">نصائح العناية
[كاروسيل]</t>
  </si>
  <si>
    <t xml:space="preserve">Instagram Stories</t>
  </si>
  <si>
    <t xml:space="preserve">فلاش سيل
[Story]</t>
  </si>
  <si>
    <t xml:space="preserve">٥ أسباب
[فيديو قصير]</t>
  </si>
  <si>
    <t xml:space="preserve">كورسيه السفر
[فيديو]</t>
  </si>
  <si>
    <t xml:space="preserve">تحدي الأسبوع
[فيديو]</t>
  </si>
  <si>
    <t xml:space="preserve">الكل / Cross-post</t>
  </si>
  <si>
    <t xml:space="preserve">عيد الأم
[كاروسيل]</t>
  </si>
  <si>
    <t xml:space="preserve">رمضان
[كاروسيل]</t>
  </si>
  <si>
    <t xml:space="preserve">ملخص الشهر
[صورة]</t>
  </si>
  <si>
    <t xml:space="preserve">ملخص الأسابيع</t>
  </si>
  <si>
    <t xml:space="preserve">الأسبوع 1  |  1–7 أبريل</t>
  </si>
  <si>
    <t xml:space="preserve">الأسبوع 2  |  8–15 أبريل</t>
  </si>
  <si>
    <t xml:space="preserve">الأسبوع 3  |  16–22 أبريل</t>
  </si>
  <si>
    <t xml:space="preserve">الأسبوع 4  |  23–30 أبريل</t>
  </si>
  <si>
    <t xml:space="preserve">3 بوستات</t>
  </si>
  <si>
    <t xml:space="preserve">4 بوستات</t>
  </si>
  <si>
    <t xml:space="preserve">5 بوستات</t>
  </si>
  <si>
    <t xml:space="preserve">توزيع البوستات على القنوات</t>
  </si>
  <si>
    <t xml:space="preserve">6 بوستات</t>
  </si>
  <si>
    <t xml:space="preserve">1 بوست</t>
  </si>
  <si>
    <t xml:space="preserve">KPIs &amp; REPORTING  —  متابعة الأداء</t>
  </si>
  <si>
    <t xml:space="preserve">المؤشر / KPI</t>
  </si>
  <si>
    <t xml:space="preserve">الهدف</t>
  </si>
  <si>
    <t xml:space="preserve">الأسبوع 1</t>
  </si>
  <si>
    <t xml:space="preserve">الأسبوع 2</t>
  </si>
  <si>
    <t xml:space="preserve">الأسبوع 3</t>
  </si>
  <si>
    <t xml:space="preserve">الأسبوع 4</t>
  </si>
  <si>
    <t xml:space="preserve">إجمالي البوستات المنشورة</t>
  </si>
  <si>
    <t xml:space="preserve">إجمالي الليدز</t>
  </si>
  <si>
    <t xml:space="preserve">أقصى CPL (EGP)</t>
  </si>
  <si>
    <t xml:space="preserve">ROAS المستهدف</t>
  </si>
  <si>
    <t xml:space="preserve">3x</t>
  </si>
  <si>
    <t xml:space="preserve">Reach الإجمالي</t>
  </si>
  <si>
    <t xml:space="preserve">200,000</t>
  </si>
  <si>
    <t xml:space="preserve">Impressions الإجمالية</t>
  </si>
  <si>
    <t xml:space="preserve">500,000</t>
  </si>
  <si>
    <t xml:space="preserve">نسبة التفاعل (Eng. Rate)</t>
  </si>
  <si>
    <t xml:space="preserve">3%</t>
  </si>
  <si>
    <t xml:space="preserve">CTR المتوسط</t>
  </si>
  <si>
    <t xml:space="preserve">2%</t>
  </si>
  <si>
    <t xml:space="preserve">عدد المتابعين الجدد</t>
  </si>
  <si>
    <t xml:space="preserve">100%</t>
  </si>
  <si>
    <t xml:space="preserve">ملاحظات وتوصيات شهرية</t>
  </si>
  <si>
    <t xml:space="preserve">  •  تحليل أعلى البوستات أداءً وإعادة نشرها</t>
  </si>
  <si>
    <t xml:space="preserve">  •  مراجعة الـ CPL أسبوعياً وتعديل الاستهداف</t>
  </si>
  <si>
    <t xml:space="preserve">  •  اختبار A/B على الـ Creative كل أسبوعين</t>
  </si>
  <si>
    <t xml:space="preserve">  •  مقارنة الأداء بالشهر السابق في نهاية الشهر</t>
  </si>
  <si>
    <t xml:space="preserve">  •  إرسال ريبورت أسبوعي للعميل كل الاثنين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</si>
</sst>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sz val="10"/>
      <color rgb="FF1414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D85A30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2C8A7D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1"/>
      <color rgb="FF2C8A7D"/>
      <name val="Arial"/>
      <family val="0"/>
      <charset val="1"/>
    </font>
    <font>
      <b val="true"/>
      <sz val="11"/>
      <color rgb="FF444441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9"/>
      <color rgb="FF88878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7"/>
      <color rgb="FF2C8A7D"/>
      <name val="Arial"/>
      <family val="0"/>
      <charset val="1"/>
    </font>
    <font>
      <b val="true"/>
      <sz val="7"/>
      <color rgb="FFD85A30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7"/>
      <color rgb="FF185FA5"/>
      <name val="Arial"/>
      <family val="0"/>
      <charset val="1"/>
    </font>
    <font>
      <b val="true"/>
      <sz val="7"/>
      <color rgb="FF534AB7"/>
      <name val="Arial"/>
      <family val="0"/>
      <charset val="1"/>
    </font>
    <font>
      <b val="true"/>
      <sz val="10"/>
      <color rgb="FF993556"/>
      <name val="Arial"/>
      <family val="0"/>
      <charset val="1"/>
    </font>
    <font>
      <b val="true"/>
      <sz val="10"/>
      <color rgb="FF2C8A7D"/>
      <name val="Arial"/>
      <family val="0"/>
      <charset val="1"/>
    </font>
    <font>
      <b val="true"/>
      <sz val="7"/>
      <color rgb="FF854F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sz val="10"/>
      <color rgb="FF2C8A7D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3DAA9B"/>
        <bgColor rgb="FF2C8A7D"/>
      </patternFill>
    </fill>
    <fill>
      <patternFill patternType="solid">
        <fgColor rgb="FF2C8A7D"/>
        <bgColor rgb="FF008080"/>
      </patternFill>
    </fill>
    <fill>
      <patternFill patternType="solid">
        <fgColor rgb="FFF8F7F4"/>
        <bgColor rgb="FFFAF8F4"/>
      </patternFill>
    </fill>
    <fill>
      <patternFill patternType="solid">
        <fgColor rgb="FFF0FAF8"/>
        <bgColor rgb="FFF8F7F4"/>
      </patternFill>
    </fill>
    <fill>
      <patternFill patternType="solid">
        <fgColor rgb="FFFAECE7"/>
        <bgColor rgb="FFFBEAF0"/>
      </patternFill>
    </fill>
    <fill>
      <patternFill patternType="solid">
        <fgColor rgb="FFE6F1FB"/>
        <bgColor rgb="FFE0F5F2"/>
      </patternFill>
    </fill>
    <fill>
      <patternFill patternType="solid">
        <fgColor rgb="FFFFFFFF"/>
        <bgColor rgb="FFFAF8F4"/>
      </patternFill>
    </fill>
    <fill>
      <patternFill patternType="solid">
        <fgColor rgb="FFFAEEDA"/>
        <bgColor rgb="FFFAECE7"/>
      </patternFill>
    </fill>
    <fill>
      <patternFill patternType="solid">
        <fgColor rgb="FFE0F5F2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1EFE8"/>
        <bgColor rgb="FFEBEBEB"/>
      </patternFill>
    </fill>
    <fill>
      <patternFill patternType="solid">
        <fgColor rgb="FFEAF3DE"/>
        <bgColor rgb="FFF1EFE8"/>
      </patternFill>
    </fill>
    <fill>
      <patternFill patternType="solid">
        <fgColor rgb="FF141414"/>
        <bgColor rgb="FF000000"/>
      </patternFill>
    </fill>
    <fill>
      <patternFill patternType="solid">
        <fgColor rgb="FFD85A30"/>
        <bgColor rgb="FFFF8080"/>
      </patternFill>
    </fill>
    <fill>
      <patternFill patternType="solid">
        <fgColor rgb="FFFAF8F4"/>
        <bgColor rgb="FFF8F7F4"/>
      </patternFill>
    </fill>
    <fill>
      <patternFill patternType="solid">
        <fgColor rgb="FFFBEAF0"/>
        <bgColor rgb="FFFAECE7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E0E0D8"/>
      </left>
      <right style="thin">
        <color rgb="FFE0E0D8"/>
      </right>
      <top style="thin">
        <color rgb="FFE0E0D8"/>
      </top>
      <bottom style="thin">
        <color rgb="FFE0E0D8"/>
      </bottom>
      <diagonal/>
    </border>
    <border diagonalUp="false" diagonalDown="false">
      <left style="thin">
        <color rgb="FF2C8A7D"/>
      </left>
      <right style="thin">
        <color rgb="FF2C8A7D"/>
      </right>
      <top style="thin">
        <color rgb="FF2C8A7D"/>
      </top>
      <bottom style="thin">
        <color rgb="FF2C8A7D"/>
      </bottom>
      <diagonal/>
    </border>
    <border diagonalUp="false" diagonalDown="false">
      <left style="thin">
        <color rgb="FFE8E8E0"/>
      </left>
      <right style="thin">
        <color rgb="FFE8E8E0"/>
      </right>
      <top style="thin">
        <color rgb="FFE8E8E0"/>
      </top>
      <bottom style="thin">
        <color rgb="FFE8E8E0"/>
      </bottom>
      <diagonal/>
    </border>
    <border diagonalUp="false" diagonalDown="false">
      <left style="thin">
        <color rgb="FF3DAA9B"/>
      </left>
      <right style="thin">
        <color rgb="FF3DAA9B"/>
      </right>
      <top style="thin">
        <color rgb="FF3DAA9B"/>
      </top>
      <bottom style="thin">
        <color rgb="FF3DAA9B"/>
      </bottom>
      <diagonal/>
    </border>
    <border diagonalUp="false" diagonalDown="false">
      <left style="thin">
        <color rgb="FF3DAA9B"/>
      </left>
      <right/>
      <top style="thin">
        <color rgb="FF3DAA9B"/>
      </top>
      <bottom style="thin">
        <color rgb="FF3DAA9B"/>
      </bottom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85A30"/>
      </left>
      <right/>
      <top style="thin">
        <color rgb="FFD85A30"/>
      </top>
      <bottom style="thin">
        <color rgb="FFD85A30"/>
      </bottom>
      <diagonal/>
    </border>
    <border diagonalUp="false" diagonalDown="false">
      <left style="thin">
        <color rgb="FF141414"/>
      </left>
      <right style="thin">
        <color rgb="FF141414"/>
      </right>
      <top style="thin">
        <color rgb="FF141414"/>
      </top>
      <bottom style="thin">
        <color rgb="FF141414"/>
      </bottom>
      <diagonal/>
    </border>
    <border diagonalUp="false" diagonalDown="false">
      <left style="thin">
        <color rgb="FFD85A30"/>
      </left>
      <right style="thin">
        <color rgb="FFD85A30"/>
      </right>
      <top style="thin">
        <color rgb="FFD85A30"/>
      </top>
      <bottom style="thin">
        <color rgb="FFD85A30"/>
      </bottom>
      <diagonal/>
    </border>
    <border diagonalUp="false" diagonalDown="false">
      <left style="medium">
        <color rgb="FF3DAA9B"/>
      </left>
      <right style="thin">
        <color rgb="FF2C8A7D"/>
      </right>
      <top style="thin">
        <color rgb="FF2C8A7D"/>
      </top>
      <bottom style="thin">
        <color rgb="FF2C8A7D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 diagonalUp="false" diagonalDown="false">
      <left style="medium">
        <color rgb="FF3DAA9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 diagonalUp="false" diagonalDown="false">
      <left style="medium">
        <color rgb="FF2C8A7D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D85A30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3DAA9B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534AB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185FA5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854F0B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medium">
        <color rgb="FF3DAA9B"/>
      </left>
      <right/>
      <top/>
      <bottom/>
      <diagonal/>
    </border>
    <border diagonalUp="false" diagonalDown="false">
      <left style="thin">
        <color rgb="FFE0E0D8"/>
      </left>
      <right/>
      <top style="thin">
        <color rgb="FFE0E0D8"/>
      </top>
      <bottom style="thin">
        <color rgb="FFE0E0D8"/>
      </bottom>
      <diagonal/>
    </border>
    <border diagonalUp="false" diagonalDown="false"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 diagonalUp="false" diagonalDown="false"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 diagonalUp="false" diagonalDown="false">
      <left style="thin">
        <color rgb="FF993556"/>
      </left>
      <right style="thin">
        <color rgb="FF993556"/>
      </right>
      <top style="thin">
        <color rgb="FF993556"/>
      </top>
      <bottom style="thin">
        <color rgb="FF993556"/>
      </bottom>
      <diagonal/>
    </border>
    <border diagonalUp="false" diagonalDown="false">
      <left style="thin">
        <color rgb="FF444441"/>
      </left>
      <right style="thin">
        <color rgb="FF444441"/>
      </right>
      <top style="thin">
        <color rgb="FF444441"/>
      </top>
      <bottom style="thin">
        <color rgb="FF44444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EFE8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D3D1C7"/>
      <rgbColor rgb="FF888780"/>
      <rgbColor rgb="FFF0FAF8"/>
      <rgbColor rgb="FF993556"/>
      <rgbColor rgb="FFFAEEDA"/>
      <rgbColor rgb="FFE0F5F2"/>
      <rgbColor rgb="FF660066"/>
      <rgbColor rgb="FFFF8080"/>
      <rgbColor rgb="FF185FA5"/>
      <rgbColor rgb="FFE0E0D8"/>
      <rgbColor rgb="FF000080"/>
      <rgbColor rgb="FFFF00FF"/>
      <rgbColor rgb="FFFAF8F4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EBEBEB"/>
      <rgbColor rgb="FFFBEAF0"/>
      <rgbColor rgb="FFEEEDFE"/>
      <rgbColor rgb="FFE8E8E0"/>
      <rgbColor rgb="FF3366FF"/>
      <rgbColor rgb="FF3DAA9B"/>
      <rgbColor rgb="FF99CC00"/>
      <rgbColor rgb="FFF8F7F4"/>
      <rgbColor rgb="FFFF9900"/>
      <rgbColor rgb="FFD85A30"/>
      <rgbColor rgb="FF534AB7"/>
      <rgbColor rgb="FF969696"/>
      <rgbColor rgb="FF003366"/>
      <rgbColor rgb="FF2C8A7D"/>
      <rgbColor rgb="FF141414"/>
      <rgbColor rgb="FF333300"/>
      <rgbColor rgb="FF854F0B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8" min="7" style="0" width="16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4" min="12" style="0" width="14"/>
    <col collapsed="false" customWidth="true" hidden="false" outlineLevel="0" max="15" min="15" style="0" width="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42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1.75" hidden="false" customHeight="true" outlineLevel="0" collapsed="false">
      <c r="A4" s="4"/>
      <c r="B4" s="5" t="s">
        <v>1</v>
      </c>
      <c r="C4" s="6" t="s">
        <v>2</v>
      </c>
      <c r="D4" s="7"/>
      <c r="E4" s="5" t="s">
        <v>3</v>
      </c>
      <c r="F4" s="6" t="s">
        <v>4</v>
      </c>
      <c r="G4" s="7"/>
      <c r="H4" s="5" t="s">
        <v>5</v>
      </c>
      <c r="I4" s="6" t="s">
        <v>6</v>
      </c>
      <c r="J4" s="7"/>
      <c r="K4" s="5" t="s">
        <v>7</v>
      </c>
      <c r="L4" s="6" t="s">
        <v>8</v>
      </c>
      <c r="M4" s="6" t="s">
        <v>9</v>
      </c>
      <c r="N4" s="5" t="s">
        <v>10</v>
      </c>
      <c r="O4" s="4"/>
    </row>
    <row r="5" customFormat="false" ht="21.75" hidden="false" customHeight="true" outlineLevel="0" collapsed="false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4"/>
    </row>
    <row r="6" customFormat="false" ht="21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21.75" hidden="false" customHeight="true" outlineLevel="0" collapsed="false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4"/>
    </row>
    <row r="8" customFormat="false" ht="30" hidden="false" customHeight="true" outlineLevel="0" collapsed="false"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</row>
    <row r="9" customFormat="false" ht="27.75" hidden="false" customHeight="true" outlineLevel="0" collapsed="false">
      <c r="B9" s="9" t="s">
        <v>24</v>
      </c>
      <c r="C9" s="10" t="s">
        <v>25</v>
      </c>
      <c r="D9" s="11" t="s">
        <v>26</v>
      </c>
      <c r="E9" s="9" t="s">
        <v>27</v>
      </c>
      <c r="F9" s="9" t="s">
        <v>28</v>
      </c>
      <c r="G9" s="9" t="s">
        <v>29</v>
      </c>
      <c r="H9" s="9" t="s">
        <v>30</v>
      </c>
      <c r="I9" s="10" t="s">
        <v>31</v>
      </c>
      <c r="J9" s="10" t="s">
        <v>32</v>
      </c>
      <c r="K9" s="9" t="s">
        <v>33</v>
      </c>
      <c r="L9" s="9" t="s">
        <v>34</v>
      </c>
      <c r="M9" s="12" t="s">
        <v>35</v>
      </c>
      <c r="N9" s="10"/>
    </row>
    <row r="10" customFormat="false" ht="27.75" hidden="false" customHeight="true" outlineLevel="0" collapsed="false">
      <c r="B10" s="13" t="s">
        <v>36</v>
      </c>
      <c r="C10" s="14" t="s">
        <v>37</v>
      </c>
      <c r="D10" s="15" t="s">
        <v>38</v>
      </c>
      <c r="E10" s="13" t="s">
        <v>39</v>
      </c>
      <c r="F10" s="13" t="s">
        <v>40</v>
      </c>
      <c r="G10" s="13" t="s">
        <v>41</v>
      </c>
      <c r="H10" s="13" t="s">
        <v>42</v>
      </c>
      <c r="I10" s="14" t="s">
        <v>43</v>
      </c>
      <c r="J10" s="14" t="s">
        <v>44</v>
      </c>
      <c r="K10" s="13" t="s">
        <v>45</v>
      </c>
      <c r="L10" s="13" t="s">
        <v>46</v>
      </c>
      <c r="M10" s="16" t="s">
        <v>47</v>
      </c>
      <c r="N10" s="14"/>
    </row>
    <row r="11" customFormat="false" ht="27.75" hidden="false" customHeight="true" outlineLevel="0" collapsed="false">
      <c r="B11" s="9" t="s">
        <v>48</v>
      </c>
      <c r="C11" s="10" t="s">
        <v>49</v>
      </c>
      <c r="D11" s="17" t="s">
        <v>50</v>
      </c>
      <c r="E11" s="9" t="s">
        <v>51</v>
      </c>
      <c r="F11" s="9" t="s">
        <v>52</v>
      </c>
      <c r="G11" s="9" t="s">
        <v>53</v>
      </c>
      <c r="H11" s="9" t="s">
        <v>54</v>
      </c>
      <c r="I11" s="10" t="s">
        <v>55</v>
      </c>
      <c r="J11" s="10" t="s">
        <v>56</v>
      </c>
      <c r="K11" s="9" t="s">
        <v>57</v>
      </c>
      <c r="L11" s="9" t="s">
        <v>58</v>
      </c>
      <c r="M11" s="12" t="s">
        <v>35</v>
      </c>
      <c r="N11" s="10"/>
    </row>
    <row r="12" customFormat="false" ht="27.75" hidden="false" customHeight="true" outlineLevel="0" collapsed="false">
      <c r="B12" s="13" t="s">
        <v>59</v>
      </c>
      <c r="C12" s="14" t="s">
        <v>60</v>
      </c>
      <c r="D12" s="18" t="s">
        <v>61</v>
      </c>
      <c r="E12" s="13" t="s">
        <v>27</v>
      </c>
      <c r="F12" s="13" t="s">
        <v>28</v>
      </c>
      <c r="G12" s="13" t="s">
        <v>62</v>
      </c>
      <c r="H12" s="13" t="s">
        <v>63</v>
      </c>
      <c r="I12" s="14" t="s">
        <v>64</v>
      </c>
      <c r="J12" s="14" t="s">
        <v>65</v>
      </c>
      <c r="K12" s="13" t="s">
        <v>33</v>
      </c>
      <c r="L12" s="13" t="s">
        <v>34</v>
      </c>
      <c r="M12" s="19" t="s">
        <v>66</v>
      </c>
      <c r="N12" s="14"/>
    </row>
    <row r="13" customFormat="false" ht="27.75" hidden="false" customHeight="true" outlineLevel="0" collapsed="false">
      <c r="B13" s="9" t="s">
        <v>67</v>
      </c>
      <c r="C13" s="10" t="s">
        <v>68</v>
      </c>
      <c r="D13" s="15" t="s">
        <v>38</v>
      </c>
      <c r="E13" s="9" t="s">
        <v>69</v>
      </c>
      <c r="F13" s="9" t="s">
        <v>52</v>
      </c>
      <c r="G13" s="9" t="s">
        <v>70</v>
      </c>
      <c r="H13" s="9" t="s">
        <v>71</v>
      </c>
      <c r="I13" s="10" t="s">
        <v>72</v>
      </c>
      <c r="J13" s="10" t="s">
        <v>73</v>
      </c>
      <c r="K13" s="9" t="s">
        <v>57</v>
      </c>
      <c r="L13" s="9" t="s">
        <v>34</v>
      </c>
      <c r="M13" s="20" t="s">
        <v>74</v>
      </c>
      <c r="N13" s="10"/>
    </row>
    <row r="14" customFormat="false" ht="27.75" hidden="false" customHeight="true" outlineLevel="0" collapsed="false">
      <c r="B14" s="13" t="s">
        <v>75</v>
      </c>
      <c r="C14" s="14" t="s">
        <v>76</v>
      </c>
      <c r="D14" s="11" t="s">
        <v>26</v>
      </c>
      <c r="E14" s="13" t="s">
        <v>77</v>
      </c>
      <c r="F14" s="13" t="s">
        <v>28</v>
      </c>
      <c r="G14" s="13" t="s">
        <v>78</v>
      </c>
      <c r="H14" s="13" t="s">
        <v>79</v>
      </c>
      <c r="I14" s="14" t="s">
        <v>80</v>
      </c>
      <c r="J14" s="14" t="s">
        <v>81</v>
      </c>
      <c r="K14" s="13" t="s">
        <v>33</v>
      </c>
      <c r="L14" s="13" t="s">
        <v>34</v>
      </c>
      <c r="M14" s="20" t="s">
        <v>74</v>
      </c>
      <c r="N14" s="14"/>
    </row>
    <row r="15" customFormat="false" ht="27.75" hidden="false" customHeight="true" outlineLevel="0" collapsed="false">
      <c r="B15" s="9" t="s">
        <v>82</v>
      </c>
      <c r="C15" s="10" t="s">
        <v>83</v>
      </c>
      <c r="D15" s="21" t="s">
        <v>84</v>
      </c>
      <c r="E15" s="9" t="s">
        <v>85</v>
      </c>
      <c r="F15" s="9" t="s">
        <v>52</v>
      </c>
      <c r="G15" s="9" t="s">
        <v>86</v>
      </c>
      <c r="H15" s="9" t="s">
        <v>87</v>
      </c>
      <c r="I15" s="10" t="s">
        <v>88</v>
      </c>
      <c r="J15" s="10" t="s">
        <v>89</v>
      </c>
      <c r="K15" s="9" t="s">
        <v>45</v>
      </c>
      <c r="L15" s="9" t="s">
        <v>46</v>
      </c>
      <c r="M15" s="20" t="s">
        <v>74</v>
      </c>
      <c r="N15" s="10"/>
    </row>
    <row r="16" customFormat="false" ht="27.75" hidden="false" customHeight="true" outlineLevel="0" collapsed="false">
      <c r="B16" s="13" t="s">
        <v>90</v>
      </c>
      <c r="C16" s="14" t="s">
        <v>91</v>
      </c>
      <c r="D16" s="17" t="s">
        <v>50</v>
      </c>
      <c r="E16" s="13" t="s">
        <v>51</v>
      </c>
      <c r="F16" s="13" t="s">
        <v>92</v>
      </c>
      <c r="G16" s="13" t="s">
        <v>93</v>
      </c>
      <c r="H16" s="13" t="s">
        <v>94</v>
      </c>
      <c r="I16" s="14" t="s">
        <v>95</v>
      </c>
      <c r="J16" s="14" t="s">
        <v>96</v>
      </c>
      <c r="K16" s="13" t="s">
        <v>97</v>
      </c>
      <c r="L16" s="13" t="s">
        <v>34</v>
      </c>
      <c r="M16" s="20" t="s">
        <v>74</v>
      </c>
      <c r="N16" s="14"/>
    </row>
    <row r="17" customFormat="false" ht="27.75" hidden="false" customHeight="true" outlineLevel="0" collapsed="false">
      <c r="B17" s="9" t="s">
        <v>98</v>
      </c>
      <c r="C17" s="10" t="s">
        <v>99</v>
      </c>
      <c r="D17" s="11" t="s">
        <v>26</v>
      </c>
      <c r="E17" s="9" t="s">
        <v>39</v>
      </c>
      <c r="F17" s="9" t="s">
        <v>40</v>
      </c>
      <c r="G17" s="9" t="s">
        <v>100</v>
      </c>
      <c r="H17" s="9" t="s">
        <v>63</v>
      </c>
      <c r="I17" s="10" t="s">
        <v>101</v>
      </c>
      <c r="J17" s="10" t="s">
        <v>102</v>
      </c>
      <c r="K17" s="9" t="s">
        <v>103</v>
      </c>
      <c r="L17" s="9" t="s">
        <v>46</v>
      </c>
      <c r="M17" s="20" t="s">
        <v>74</v>
      </c>
      <c r="N17" s="10"/>
    </row>
    <row r="18" customFormat="false" ht="27.75" hidden="false" customHeight="true" outlineLevel="0" collapsed="false">
      <c r="B18" s="13" t="s">
        <v>104</v>
      </c>
      <c r="C18" s="14" t="s">
        <v>105</v>
      </c>
      <c r="D18" s="15" t="s">
        <v>38</v>
      </c>
      <c r="E18" s="13" t="s">
        <v>69</v>
      </c>
      <c r="F18" s="13" t="s">
        <v>52</v>
      </c>
      <c r="G18" s="13" t="s">
        <v>106</v>
      </c>
      <c r="H18" s="13" t="s">
        <v>30</v>
      </c>
      <c r="I18" s="14" t="s">
        <v>107</v>
      </c>
      <c r="J18" s="14" t="s">
        <v>108</v>
      </c>
      <c r="K18" s="13" t="s">
        <v>45</v>
      </c>
      <c r="L18" s="13" t="s">
        <v>34</v>
      </c>
      <c r="M18" s="20" t="s">
        <v>74</v>
      </c>
      <c r="N18" s="14"/>
    </row>
    <row r="19" customFormat="false" ht="27.75" hidden="false" customHeight="true" outlineLevel="0" collapsed="false">
      <c r="B19" s="9" t="s">
        <v>109</v>
      </c>
      <c r="C19" s="10" t="s">
        <v>110</v>
      </c>
      <c r="D19" s="21" t="s">
        <v>84</v>
      </c>
      <c r="E19" s="9" t="s">
        <v>85</v>
      </c>
      <c r="F19" s="9" t="s">
        <v>52</v>
      </c>
      <c r="G19" s="9" t="s">
        <v>111</v>
      </c>
      <c r="H19" s="9" t="s">
        <v>54</v>
      </c>
      <c r="I19" s="10" t="s">
        <v>112</v>
      </c>
      <c r="J19" s="10" t="s">
        <v>113</v>
      </c>
      <c r="K19" s="9" t="s">
        <v>57</v>
      </c>
      <c r="L19" s="9" t="s">
        <v>46</v>
      </c>
      <c r="M19" s="20" t="s">
        <v>74</v>
      </c>
      <c r="N19" s="10"/>
    </row>
    <row r="20" customFormat="false" ht="27.75" hidden="false" customHeight="true" outlineLevel="0" collapsed="false">
      <c r="B20" s="13" t="s">
        <v>114</v>
      </c>
      <c r="C20" s="14" t="s">
        <v>115</v>
      </c>
      <c r="D20" s="18" t="s">
        <v>61</v>
      </c>
      <c r="E20" s="13" t="s">
        <v>27</v>
      </c>
      <c r="F20" s="13" t="s">
        <v>116</v>
      </c>
      <c r="G20" s="13" t="s">
        <v>117</v>
      </c>
      <c r="H20" s="13" t="s">
        <v>118</v>
      </c>
      <c r="I20" s="14" t="s">
        <v>119</v>
      </c>
      <c r="J20" s="14" t="s">
        <v>120</v>
      </c>
      <c r="K20" s="13" t="s">
        <v>33</v>
      </c>
      <c r="L20" s="13" t="s">
        <v>34</v>
      </c>
      <c r="M20" s="20" t="s">
        <v>74</v>
      </c>
      <c r="N20" s="14"/>
    </row>
    <row r="21" customFormat="false" ht="24" hidden="false" customHeight="true" outlineLevel="0" collapsed="false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customFormat="false" ht="24" hidden="false" customHeight="true" outlineLevel="0" collapsed="false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24" hidden="false" customHeight="true" outlineLevel="0" collapsed="false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customFormat="false" ht="24" hidden="false" customHeight="true" outlineLevel="0" collapsed="false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customFormat="false" ht="24" hidden="false" customHeight="true" outlineLevel="0" collapsed="false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customFormat="false" ht="24" hidden="false" customHeight="true" outlineLevel="0" collapsed="false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customFormat="false" ht="24" hidden="false" customHeight="true" outlineLevel="0" collapsed="false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customFormat="false" ht="24" hidden="false" customHeight="true" outlineLevel="0" collapsed="false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customFormat="false" ht="24" hidden="false" customHeight="true" outlineLevel="0" collapsed="false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customFormat="false" ht="24" hidden="false" customHeight="true" outlineLevel="0" collapsed="false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customFormat="false" ht="24" hidden="false" customHeight="true" outlineLevel="0" collapsed="false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customFormat="false" ht="24" hidden="false" customHeight="true" outlineLevel="0" collapsed="false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customFormat="false" ht="24" hidden="false" customHeight="true" outlineLevel="0" collapsed="false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customFormat="false" ht="24" hidden="false" customHeight="true" outlineLevel="0" collapsed="false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customFormat="false" ht="24" hidden="false" customHeight="true" outlineLevel="0" collapsed="false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customFormat="false" ht="24" hidden="false" customHeight="true" outlineLevel="0" collapsed="false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24" hidden="false" customHeight="true" outlineLevel="0" collapsed="false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customFormat="false" ht="24" hidden="false" customHeight="true" outlineLevel="0" collapsed="false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41" customFormat="false" ht="13.5" hidden="false" customHeight="true" outlineLevel="0" collapsed="false"/>
    <row r="42" customFormat="false" ht="27.75" hidden="false" customHeight="true" outlineLevel="0" collapsed="false">
      <c r="B42" s="24" t="s">
        <v>121</v>
      </c>
      <c r="C42" s="24"/>
      <c r="D42" s="24"/>
    </row>
    <row r="43" customFormat="false" ht="24" hidden="false" customHeight="true" outlineLevel="0" collapsed="false">
      <c r="B43" s="25" t="s">
        <v>122</v>
      </c>
      <c r="C43" s="26" t="n">
        <f aca="false">COUNTA(C9:C39)</f>
        <v>12</v>
      </c>
    </row>
    <row r="44" customFormat="false" ht="24" hidden="false" customHeight="true" outlineLevel="0" collapsed="false">
      <c r="B44" s="25" t="s">
        <v>123</v>
      </c>
      <c r="C44" s="26" t="n">
        <f aca="false">COUNTIF(M9:M39,"Approved")</f>
        <v>2</v>
      </c>
    </row>
    <row r="45" customFormat="false" ht="24" hidden="false" customHeight="true" outlineLevel="0" collapsed="false">
      <c r="B45" s="25" t="s">
        <v>124</v>
      </c>
      <c r="C45" s="26" t="n">
        <f aca="false">COUNTIF(M9:M39,"Published")</f>
        <v>0</v>
      </c>
    </row>
    <row r="46" customFormat="false" ht="24" hidden="false" customHeight="true" outlineLevel="0" collapsed="false">
      <c r="B46" s="25" t="s">
        <v>125</v>
      </c>
      <c r="C46" s="27" t="n">
        <f aca="false">IFERROR(COUNTIF(M9:M39,"Published")/COUNTA(C9:C39),0)</f>
        <v>0</v>
      </c>
    </row>
    <row r="47" customFormat="false" ht="24" hidden="false" customHeight="true" outlineLevel="0" collapsed="false">
      <c r="B47" s="25" t="s">
        <v>126</v>
      </c>
      <c r="C47" s="26" t="n">
        <f aca="false">COUNTIF(M9:M39,"Draft")</f>
        <v>8</v>
      </c>
    </row>
  </sheetData>
  <mergeCells count="5">
    <mergeCell ref="A1:O1"/>
    <mergeCell ref="B2:O2"/>
    <mergeCell ref="A3:O3"/>
    <mergeCell ref="A6:O6"/>
    <mergeCell ref="B42:D42"/>
  </mergeCells>
  <dataValidations count="6">
    <dataValidation allowBlank="true" errorStyle="stop" operator="between" showDropDown="false" showErrorMessage="false" showInputMessage="false" sqref="D9:D200" type="list">
      <formula1>"منتجات وعروض,تعليم وتوعية,تفاعل وUGC,براند وقيم,مناسبات"</formula1>
      <formula2>0</formula2>
    </dataValidation>
    <dataValidation allowBlank="true" errorStyle="stop" operator="between" showDropDown="false" showErrorMessage="false" showInputMessage="false" sqref="E9:E200" type="list">
      <formula1>"فيديو قصير,كاروسيل,صورة ثابتة,Reel,Story,Live,Infographic"</formula1>
      <formula2>0</formula2>
    </dataValidation>
    <dataValidation allowBlank="true" errorStyle="stop" operator="between" showDropDown="false" showErrorMessage="false" showInputMessage="false" sqref="F9:F200" type="list">
      <formula1>"Facebook,Instagram,TikTok,LinkedIn,Facebook+Instagram,الكل"</formula1>
      <formula2>0</formula2>
    </dataValidation>
    <dataValidation allowBlank="true" errorStyle="stop" operator="between" showDropDown="false" showErrorMessage="false" showInputMessage="false" sqref="K9:K200" type="list">
      <formula1>"تواصلي معنا,اشتري دلوقتي,احجزي مجانًا,اعرفي أكتر,شاركي رأيك"</formula1>
      <formula2>0</formula2>
    </dataValidation>
    <dataValidation allowBlank="true" errorStyle="stop" operator="between" showDropDown="false" showErrorMessage="false" showInputMessage="false" sqref="L9:L200" type="list">
      <formula1>"تصوير مطلوب,جرافيك,فيديو مطلوب,جاهز,UGC"</formula1>
      <formula2>0</formula2>
    </dataValidation>
    <dataValidation allowBlank="true" errorStyle="stop" operator="between" showDropDown="false" showErrorMessage="false" showInputMessage="false" sqref="M9:M200" type="list">
      <formula1>"Draft,In Review,Approved,Scheduled,Published,Paused"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4" min="3" style="0" width="9"/>
    <col collapsed="false" customWidth="true" hidden="false" outlineLevel="0" max="35" min="35" style="0" width="3"/>
  </cols>
  <sheetData>
    <row r="1" customFormat="false" ht="7.5" hidden="false" customHeight="true" outlineLevel="0" collapsed="false"/>
    <row r="2" customFormat="false" ht="42" hidden="false" customHeight="true" outlineLevel="0" collapsed="false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7.5" hidden="false" customHeight="true" outlineLevel="0" collapsed="false"/>
    <row r="4" customFormat="false" ht="21.75" hidden="false" customHeight="true" outlineLevel="0" collapsed="false">
      <c r="B4" s="28" t="s">
        <v>128</v>
      </c>
      <c r="C4" s="28"/>
      <c r="D4" s="28"/>
      <c r="E4" s="28"/>
      <c r="F4" s="28"/>
      <c r="H4" s="29" t="s">
        <v>129</v>
      </c>
      <c r="I4" s="29"/>
      <c r="J4" s="29"/>
      <c r="K4" s="29"/>
      <c r="L4" s="29"/>
      <c r="N4" s="30" t="s">
        <v>130</v>
      </c>
      <c r="O4" s="30"/>
      <c r="P4" s="30"/>
      <c r="Q4" s="30"/>
      <c r="R4" s="30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customFormat="false" ht="21.75" hidden="false" customHeight="true" outlineLevel="0" collapsed="false">
      <c r="B6" s="31" t="s">
        <v>26</v>
      </c>
      <c r="C6" s="31"/>
      <c r="D6" s="32" t="s">
        <v>38</v>
      </c>
      <c r="E6" s="32"/>
      <c r="F6" s="33" t="s">
        <v>50</v>
      </c>
      <c r="G6" s="33"/>
      <c r="H6" s="34" t="s">
        <v>84</v>
      </c>
      <c r="I6" s="34"/>
      <c r="J6" s="35" t="s">
        <v>61</v>
      </c>
      <c r="K6" s="35"/>
      <c r="L6" s="36" t="s">
        <v>131</v>
      </c>
      <c r="M6" s="36"/>
      <c r="N6" s="32" t="s">
        <v>132</v>
      </c>
      <c r="O6" s="32"/>
      <c r="P6" s="37" t="s">
        <v>133</v>
      </c>
      <c r="Q6" s="37"/>
    </row>
    <row r="7" customFormat="false" ht="30" hidden="false" customHeight="true" outlineLevel="0" collapsed="false">
      <c r="B7" s="38" t="s">
        <v>134</v>
      </c>
      <c r="C7" s="39" t="s">
        <v>135</v>
      </c>
      <c r="D7" s="39" t="s">
        <v>136</v>
      </c>
      <c r="E7" s="39" t="s">
        <v>137</v>
      </c>
      <c r="F7" s="40" t="s">
        <v>138</v>
      </c>
      <c r="G7" s="40" t="s">
        <v>139</v>
      </c>
      <c r="H7" s="39" t="s">
        <v>140</v>
      </c>
      <c r="I7" s="39" t="s">
        <v>141</v>
      </c>
      <c r="J7" s="41" t="s">
        <v>142</v>
      </c>
      <c r="K7" s="39" t="s">
        <v>143</v>
      </c>
      <c r="L7" s="39" t="s">
        <v>144</v>
      </c>
      <c r="M7" s="40" t="s">
        <v>145</v>
      </c>
      <c r="N7" s="40" t="s">
        <v>146</v>
      </c>
      <c r="O7" s="39" t="s">
        <v>147</v>
      </c>
      <c r="P7" s="39" t="s">
        <v>148</v>
      </c>
      <c r="Q7" s="41" t="s">
        <v>149</v>
      </c>
      <c r="R7" s="39" t="s">
        <v>150</v>
      </c>
      <c r="S7" s="39" t="s">
        <v>151</v>
      </c>
      <c r="T7" s="40" t="s">
        <v>152</v>
      </c>
      <c r="U7" s="40" t="s">
        <v>153</v>
      </c>
      <c r="V7" s="39" t="s">
        <v>154</v>
      </c>
      <c r="W7" s="39" t="s">
        <v>155</v>
      </c>
      <c r="X7" s="41" t="s">
        <v>156</v>
      </c>
      <c r="Y7" s="39" t="s">
        <v>157</v>
      </c>
      <c r="Z7" s="39" t="s">
        <v>158</v>
      </c>
      <c r="AA7" s="40" t="s">
        <v>159</v>
      </c>
      <c r="AB7" s="40" t="s">
        <v>160</v>
      </c>
      <c r="AC7" s="39" t="s">
        <v>161</v>
      </c>
      <c r="AD7" s="39" t="s">
        <v>162</v>
      </c>
      <c r="AE7" s="41" t="s">
        <v>163</v>
      </c>
      <c r="AF7" s="39" t="s">
        <v>164</v>
      </c>
      <c r="AG7" s="39" t="s">
        <v>165</v>
      </c>
    </row>
    <row r="8" customFormat="false" ht="31.5" hidden="false" customHeight="true" outlineLevel="0" collapsed="false">
      <c r="B8" s="42" t="s">
        <v>92</v>
      </c>
      <c r="C8" s="43"/>
      <c r="D8" s="43"/>
      <c r="E8" s="43"/>
      <c r="F8" s="44"/>
      <c r="G8" s="44"/>
      <c r="H8" s="43"/>
      <c r="I8" s="43"/>
      <c r="J8" s="45"/>
      <c r="K8" s="43"/>
      <c r="L8" s="43"/>
      <c r="M8" s="44"/>
      <c r="N8" s="44"/>
      <c r="O8" s="43"/>
      <c r="P8" s="46" t="s">
        <v>166</v>
      </c>
      <c r="Q8" s="45"/>
      <c r="R8" s="43"/>
      <c r="S8" s="43"/>
      <c r="T8" s="44"/>
      <c r="U8" s="44"/>
      <c r="V8" s="43"/>
      <c r="W8" s="43"/>
      <c r="X8" s="45"/>
      <c r="Y8" s="43"/>
      <c r="Z8" s="47" t="s">
        <v>167</v>
      </c>
      <c r="AA8" s="44"/>
      <c r="AB8" s="44"/>
      <c r="AC8" s="43"/>
      <c r="AD8" s="43"/>
      <c r="AE8" s="45"/>
      <c r="AF8" s="43"/>
      <c r="AG8" s="43"/>
    </row>
    <row r="9" customFormat="false" ht="31.5" hidden="false" customHeight="true" outlineLevel="0" collapsed="false">
      <c r="B9" s="48" t="s">
        <v>168</v>
      </c>
      <c r="C9" s="47" t="s">
        <v>169</v>
      </c>
      <c r="D9" s="49"/>
      <c r="E9" s="49"/>
      <c r="F9" s="46" t="s">
        <v>170</v>
      </c>
      <c r="G9" s="44"/>
      <c r="H9" s="49"/>
      <c r="I9" s="49"/>
      <c r="J9" s="50" t="s">
        <v>171</v>
      </c>
      <c r="K9" s="49"/>
      <c r="L9" s="49"/>
      <c r="M9" s="44"/>
      <c r="N9" s="51" t="s">
        <v>172</v>
      </c>
      <c r="O9" s="49"/>
      <c r="P9" s="49"/>
      <c r="Q9" s="52"/>
      <c r="R9" s="49"/>
      <c r="S9" s="49"/>
      <c r="T9" s="53" t="s">
        <v>173</v>
      </c>
      <c r="U9" s="44"/>
      <c r="V9" s="51" t="s">
        <v>174</v>
      </c>
      <c r="W9" s="49"/>
      <c r="X9" s="52"/>
      <c r="Y9" s="49"/>
      <c r="Z9" s="49"/>
      <c r="AA9" s="44"/>
      <c r="AB9" s="44"/>
      <c r="AC9" s="49"/>
      <c r="AD9" s="53" t="s">
        <v>175</v>
      </c>
      <c r="AE9" s="52"/>
      <c r="AF9" s="49"/>
      <c r="AG9" s="49"/>
    </row>
    <row r="10" customFormat="false" ht="27.75" hidden="false" customHeight="true" outlineLevel="0" collapsed="false">
      <c r="B10" s="54" t="s">
        <v>176</v>
      </c>
      <c r="C10" s="43"/>
      <c r="D10" s="43"/>
      <c r="E10" s="43"/>
      <c r="F10" s="44"/>
      <c r="G10" s="44"/>
      <c r="H10" s="43"/>
      <c r="I10" s="43"/>
      <c r="J10" s="45"/>
      <c r="K10" s="43"/>
      <c r="L10" s="47" t="s">
        <v>177</v>
      </c>
      <c r="M10" s="44"/>
      <c r="N10" s="44"/>
      <c r="O10" s="43"/>
      <c r="P10" s="43"/>
      <c r="Q10" s="45"/>
      <c r="R10" s="43"/>
      <c r="S10" s="43"/>
      <c r="T10" s="44"/>
      <c r="U10" s="44"/>
      <c r="V10" s="43"/>
      <c r="W10" s="43"/>
      <c r="X10" s="45"/>
      <c r="Y10" s="43"/>
      <c r="Z10" s="43"/>
      <c r="AA10" s="44"/>
      <c r="AB10" s="44"/>
      <c r="AC10" s="43"/>
      <c r="AD10" s="43"/>
      <c r="AE10" s="45"/>
      <c r="AF10" s="43"/>
      <c r="AG10" s="43"/>
    </row>
    <row r="11" customFormat="false" ht="27.75" hidden="false" customHeight="true" outlineLevel="0" collapsed="false">
      <c r="B11" s="55" t="s">
        <v>40</v>
      </c>
      <c r="C11" s="49"/>
      <c r="D11" s="53" t="s">
        <v>178</v>
      </c>
      <c r="E11" s="49"/>
      <c r="F11" s="44"/>
      <c r="G11" s="44"/>
      <c r="H11" s="49"/>
      <c r="I11" s="49"/>
      <c r="J11" s="52"/>
      <c r="K11" s="49"/>
      <c r="L11" s="49"/>
      <c r="M11" s="44"/>
      <c r="N11" s="44"/>
      <c r="O11" s="49"/>
      <c r="P11" s="49"/>
      <c r="Q11" s="52"/>
      <c r="R11" s="47" t="s">
        <v>179</v>
      </c>
      <c r="S11" s="49"/>
      <c r="T11" s="44"/>
      <c r="U11" s="44"/>
      <c r="V11" s="49"/>
      <c r="W11" s="49"/>
      <c r="X11" s="52"/>
      <c r="Y11" s="49"/>
      <c r="Z11" s="49"/>
      <c r="AA11" s="44"/>
      <c r="AB11" s="46" t="s">
        <v>180</v>
      </c>
      <c r="AC11" s="49"/>
      <c r="AD11" s="49"/>
      <c r="AE11" s="52"/>
      <c r="AF11" s="49"/>
      <c r="AG11" s="49"/>
    </row>
    <row r="12" customFormat="false" ht="27.75" hidden="false" customHeight="true" outlineLevel="0" collapsed="false">
      <c r="B12" s="56" t="s">
        <v>181</v>
      </c>
      <c r="C12" s="43"/>
      <c r="D12" s="43"/>
      <c r="E12" s="43"/>
      <c r="F12" s="44"/>
      <c r="G12" s="44"/>
      <c r="H12" s="57" t="s">
        <v>182</v>
      </c>
      <c r="I12" s="43"/>
      <c r="J12" s="45"/>
      <c r="K12" s="43"/>
      <c r="L12" s="43"/>
      <c r="M12" s="44"/>
      <c r="N12" s="44"/>
      <c r="O12" s="43"/>
      <c r="P12" s="43"/>
      <c r="Q12" s="45"/>
      <c r="R12" s="43"/>
      <c r="S12" s="43"/>
      <c r="T12" s="44"/>
      <c r="U12" s="44"/>
      <c r="V12" s="43"/>
      <c r="W12" s="43"/>
      <c r="X12" s="58" t="s">
        <v>183</v>
      </c>
      <c r="Y12" s="43"/>
      <c r="Z12" s="43"/>
      <c r="AA12" s="44"/>
      <c r="AB12" s="44"/>
      <c r="AC12" s="43"/>
      <c r="AD12" s="43"/>
      <c r="AE12" s="45"/>
      <c r="AF12" s="51" t="s">
        <v>184</v>
      </c>
      <c r="AG12" s="43"/>
    </row>
    <row r="13" customFormat="false" ht="15" hidden="false" customHeight="false" outlineLevel="0" collapsed="false">
      <c r="J13" s="59"/>
      <c r="Q13" s="59"/>
      <c r="X13" s="59"/>
      <c r="AE13" s="59"/>
    </row>
    <row r="14" customFormat="false" ht="9.75" hidden="false" customHeight="true" outlineLevel="0" collapsed="false"/>
    <row r="15" customFormat="false" ht="27.75" hidden="false" customHeight="true" outlineLevel="0" collapsed="false">
      <c r="B15" s="24" t="s">
        <v>185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customFormat="false" ht="27.75" hidden="false" customHeight="true" outlineLevel="0" collapsed="false">
      <c r="B16" s="60" t="s">
        <v>186</v>
      </c>
      <c r="C16" s="60"/>
      <c r="D16" s="60"/>
      <c r="E16" s="60"/>
      <c r="F16" s="60"/>
      <c r="G16" s="60"/>
      <c r="H16" s="60"/>
      <c r="I16" s="60" t="s">
        <v>187</v>
      </c>
      <c r="J16" s="60"/>
      <c r="K16" s="60"/>
      <c r="L16" s="60"/>
      <c r="M16" s="60"/>
      <c r="N16" s="60"/>
      <c r="O16" s="60"/>
      <c r="P16" s="60" t="s">
        <v>188</v>
      </c>
      <c r="Q16" s="60"/>
      <c r="R16" s="60"/>
      <c r="S16" s="60"/>
      <c r="T16" s="60"/>
      <c r="U16" s="60"/>
      <c r="V16" s="60"/>
      <c r="W16" s="60" t="s">
        <v>189</v>
      </c>
      <c r="X16" s="60"/>
      <c r="Y16" s="60"/>
      <c r="Z16" s="60"/>
      <c r="AA16" s="60"/>
      <c r="AB16" s="60"/>
      <c r="AC16" s="60"/>
    </row>
    <row r="17" customFormat="false" ht="21.75" hidden="false" customHeight="true" outlineLevel="0" collapsed="false">
      <c r="B17" s="61" t="s">
        <v>190</v>
      </c>
      <c r="C17" s="61"/>
      <c r="D17" s="61"/>
      <c r="E17" s="61"/>
      <c r="F17" s="61"/>
      <c r="G17" s="61"/>
      <c r="H17" s="61"/>
      <c r="I17" s="61" t="s">
        <v>191</v>
      </c>
      <c r="J17" s="61"/>
      <c r="K17" s="61"/>
      <c r="L17" s="61"/>
      <c r="M17" s="61"/>
      <c r="N17" s="61"/>
      <c r="O17" s="61"/>
      <c r="P17" s="61" t="s">
        <v>191</v>
      </c>
      <c r="Q17" s="61"/>
      <c r="R17" s="61"/>
      <c r="S17" s="61"/>
      <c r="T17" s="61"/>
      <c r="U17" s="61"/>
      <c r="V17" s="61"/>
      <c r="W17" s="61" t="s">
        <v>192</v>
      </c>
      <c r="X17" s="61"/>
      <c r="Y17" s="61"/>
      <c r="Z17" s="61"/>
      <c r="AA17" s="61"/>
      <c r="AB17" s="61"/>
      <c r="AC17" s="61"/>
    </row>
    <row r="18" customFormat="false" ht="24" hidden="false" customHeight="true" outlineLevel="0" collapsed="false">
      <c r="B18" s="62" t="s">
        <v>193</v>
      </c>
      <c r="C18" s="62"/>
      <c r="D18" s="62"/>
      <c r="E18" s="62"/>
    </row>
    <row r="19" customFormat="false" ht="21.75" hidden="false" customHeight="true" outlineLevel="0" collapsed="false">
      <c r="B19" s="63" t="s">
        <v>92</v>
      </c>
      <c r="C19" s="63"/>
      <c r="D19" s="63"/>
      <c r="E19" s="64" t="s">
        <v>190</v>
      </c>
    </row>
    <row r="20" customFormat="false" ht="21.75" hidden="false" customHeight="true" outlineLevel="0" collapsed="false">
      <c r="B20" s="65" t="s">
        <v>168</v>
      </c>
      <c r="C20" s="65"/>
      <c r="D20" s="65"/>
      <c r="E20" s="66" t="s">
        <v>194</v>
      </c>
    </row>
    <row r="21" customFormat="false" ht="21.75" hidden="false" customHeight="true" outlineLevel="0" collapsed="false">
      <c r="B21" s="67" t="s">
        <v>176</v>
      </c>
      <c r="C21" s="67"/>
      <c r="D21" s="67"/>
      <c r="E21" s="68" t="s">
        <v>195</v>
      </c>
    </row>
    <row r="22" customFormat="false" ht="21.75" hidden="false" customHeight="true" outlineLevel="0" collapsed="false">
      <c r="B22" s="69" t="s">
        <v>40</v>
      </c>
      <c r="C22" s="69"/>
      <c r="D22" s="69"/>
      <c r="E22" s="70" t="s">
        <v>190</v>
      </c>
    </row>
    <row r="23" customFormat="false" ht="21.75" hidden="false" customHeight="true" outlineLevel="0" collapsed="false">
      <c r="B23" s="71" t="s">
        <v>181</v>
      </c>
      <c r="C23" s="71"/>
      <c r="D23" s="71"/>
      <c r="E23" s="72" t="s">
        <v>190</v>
      </c>
    </row>
  </sheetData>
  <mergeCells count="28">
    <mergeCell ref="A2:AJ2"/>
    <mergeCell ref="B4:F4"/>
    <mergeCell ref="H4:L4"/>
    <mergeCell ref="N4:R4"/>
    <mergeCell ref="A5:AJ5"/>
    <mergeCell ref="B6:C6"/>
    <mergeCell ref="D6:E6"/>
    <mergeCell ref="F6:G6"/>
    <mergeCell ref="H6:I6"/>
    <mergeCell ref="J6:K6"/>
    <mergeCell ref="L6:M6"/>
    <mergeCell ref="N6:O6"/>
    <mergeCell ref="P6:Q6"/>
    <mergeCell ref="B15:AH15"/>
    <mergeCell ref="B16:H16"/>
    <mergeCell ref="I16:O16"/>
    <mergeCell ref="P16:V16"/>
    <mergeCell ref="W16:AC16"/>
    <mergeCell ref="B17:H17"/>
    <mergeCell ref="I17:O17"/>
    <mergeCell ref="P17:V17"/>
    <mergeCell ref="W17:AC17"/>
    <mergeCell ref="B18:E18"/>
    <mergeCell ref="B19:D19"/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8"/>
    <col collapsed="false" customWidth="true" hidden="false" outlineLevel="0" max="8" min="8" style="0" width="3"/>
  </cols>
  <sheetData>
    <row r="1" customFormat="false" ht="7.5" hidden="false" customHeight="true" outlineLevel="0" collapsed="false"/>
    <row r="2" customFormat="false" ht="42" hidden="false" customHeight="true" outlineLevel="0" collapsed="false">
      <c r="A2" s="2" t="s">
        <v>196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B4" s="73" t="s">
        <v>197</v>
      </c>
      <c r="C4" s="74" t="s">
        <v>198</v>
      </c>
      <c r="D4" s="74" t="s">
        <v>199</v>
      </c>
      <c r="E4" s="74" t="s">
        <v>200</v>
      </c>
      <c r="F4" s="74" t="s">
        <v>201</v>
      </c>
      <c r="G4" s="74" t="s">
        <v>202</v>
      </c>
    </row>
    <row r="5" customFormat="false" ht="25.5" hidden="false" customHeight="true" outlineLevel="0" collapsed="false">
      <c r="B5" s="75" t="s">
        <v>203</v>
      </c>
      <c r="C5" s="76" t="n">
        <v>16</v>
      </c>
      <c r="D5" s="76"/>
      <c r="E5" s="76"/>
      <c r="F5" s="76"/>
      <c r="G5" s="76"/>
    </row>
    <row r="6" customFormat="false" ht="25.5" hidden="false" customHeight="true" outlineLevel="0" collapsed="false">
      <c r="B6" s="75" t="s">
        <v>204</v>
      </c>
      <c r="C6" s="77" t="n">
        <v>500</v>
      </c>
      <c r="D6" s="77"/>
      <c r="E6" s="77"/>
      <c r="F6" s="77"/>
      <c r="G6" s="77"/>
    </row>
    <row r="7" customFormat="false" ht="25.5" hidden="false" customHeight="true" outlineLevel="0" collapsed="false">
      <c r="B7" s="75" t="s">
        <v>205</v>
      </c>
      <c r="C7" s="76" t="n">
        <v>50</v>
      </c>
      <c r="D7" s="76"/>
      <c r="E7" s="76"/>
      <c r="F7" s="76"/>
      <c r="G7" s="76"/>
    </row>
    <row r="8" customFormat="false" ht="25.5" hidden="false" customHeight="true" outlineLevel="0" collapsed="false">
      <c r="B8" s="75" t="s">
        <v>206</v>
      </c>
      <c r="C8" s="77" t="s">
        <v>207</v>
      </c>
      <c r="D8" s="77"/>
      <c r="E8" s="77"/>
      <c r="F8" s="77"/>
      <c r="G8" s="77"/>
    </row>
    <row r="9" customFormat="false" ht="25.5" hidden="false" customHeight="true" outlineLevel="0" collapsed="false">
      <c r="B9" s="75" t="s">
        <v>208</v>
      </c>
      <c r="C9" s="76" t="s">
        <v>209</v>
      </c>
      <c r="D9" s="76"/>
      <c r="E9" s="76"/>
      <c r="F9" s="76"/>
      <c r="G9" s="76"/>
    </row>
    <row r="10" customFormat="false" ht="25.5" hidden="false" customHeight="true" outlineLevel="0" collapsed="false">
      <c r="B10" s="75" t="s">
        <v>210</v>
      </c>
      <c r="C10" s="77" t="s">
        <v>211</v>
      </c>
      <c r="D10" s="77"/>
      <c r="E10" s="77"/>
      <c r="F10" s="77"/>
      <c r="G10" s="77"/>
    </row>
    <row r="11" customFormat="false" ht="25.5" hidden="false" customHeight="true" outlineLevel="0" collapsed="false">
      <c r="B11" s="75" t="s">
        <v>212</v>
      </c>
      <c r="C11" s="76" t="s">
        <v>213</v>
      </c>
      <c r="D11" s="76"/>
      <c r="E11" s="76"/>
      <c r="F11" s="76"/>
      <c r="G11" s="76"/>
    </row>
    <row r="12" customFormat="false" ht="25.5" hidden="false" customHeight="true" outlineLevel="0" collapsed="false">
      <c r="B12" s="75" t="s">
        <v>214</v>
      </c>
      <c r="C12" s="77" t="s">
        <v>215</v>
      </c>
      <c r="D12" s="77"/>
      <c r="E12" s="77"/>
      <c r="F12" s="77"/>
      <c r="G12" s="77"/>
    </row>
    <row r="13" customFormat="false" ht="25.5" hidden="false" customHeight="true" outlineLevel="0" collapsed="false">
      <c r="B13" s="75" t="s">
        <v>216</v>
      </c>
      <c r="C13" s="76" t="n">
        <v>500</v>
      </c>
      <c r="D13" s="76"/>
      <c r="E13" s="76"/>
      <c r="F13" s="76"/>
      <c r="G13" s="76"/>
    </row>
    <row r="14" customFormat="false" ht="25.5" hidden="false" customHeight="true" outlineLevel="0" collapsed="false">
      <c r="B14" s="75" t="s">
        <v>125</v>
      </c>
      <c r="C14" s="77" t="s">
        <v>217</v>
      </c>
      <c r="D14" s="77" t="n">
        <f aca="false">COUNTA(D5:D14)/10</f>
        <v>0.1</v>
      </c>
      <c r="E14" s="77"/>
      <c r="F14" s="77"/>
      <c r="G14" s="77"/>
    </row>
    <row r="16" customFormat="false" ht="9.75" hidden="false" customHeight="true" outlineLevel="0" collapsed="false"/>
    <row r="17" customFormat="false" ht="27.75" hidden="false" customHeight="true" outlineLevel="0" collapsed="false">
      <c r="B17" s="24" t="s">
        <v>218</v>
      </c>
      <c r="C17" s="24"/>
      <c r="D17" s="24"/>
      <c r="E17" s="24"/>
      <c r="F17" s="24"/>
      <c r="G17" s="24"/>
    </row>
    <row r="18" customFormat="false" ht="21.75" hidden="false" customHeight="true" outlineLevel="0" collapsed="false">
      <c r="B18" s="78" t="s">
        <v>219</v>
      </c>
      <c r="C18" s="78"/>
      <c r="D18" s="78"/>
      <c r="E18" s="78"/>
      <c r="F18" s="78"/>
      <c r="G18" s="78"/>
    </row>
    <row r="19" customFormat="false" ht="21.75" hidden="false" customHeight="true" outlineLevel="0" collapsed="false">
      <c r="B19" s="79" t="s">
        <v>220</v>
      </c>
      <c r="C19" s="79"/>
      <c r="D19" s="79"/>
      <c r="E19" s="79"/>
      <c r="F19" s="79"/>
      <c r="G19" s="79"/>
    </row>
    <row r="20" customFormat="false" ht="21.75" hidden="false" customHeight="true" outlineLevel="0" collapsed="false">
      <c r="B20" s="78" t="s">
        <v>221</v>
      </c>
      <c r="C20" s="78"/>
      <c r="D20" s="78"/>
      <c r="E20" s="78"/>
      <c r="F20" s="78"/>
      <c r="G20" s="78"/>
    </row>
    <row r="21" customFormat="false" ht="21.75" hidden="false" customHeight="true" outlineLevel="0" collapsed="false">
      <c r="B21" s="79" t="s">
        <v>222</v>
      </c>
      <c r="C21" s="79"/>
      <c r="D21" s="79"/>
      <c r="E21" s="79"/>
      <c r="F21" s="79"/>
      <c r="G21" s="79"/>
    </row>
    <row r="22" customFormat="false" ht="21.75" hidden="false" customHeight="true" outlineLevel="0" collapsed="false">
      <c r="B22" s="78" t="s">
        <v>223</v>
      </c>
      <c r="C22" s="78"/>
      <c r="D22" s="78"/>
      <c r="E22" s="78"/>
      <c r="F22" s="78"/>
      <c r="G22" s="78"/>
    </row>
  </sheetData>
  <mergeCells count="8">
    <mergeCell ref="A2:H2"/>
    <mergeCell ref="A3:H3"/>
    <mergeCell ref="B17:G17"/>
    <mergeCell ref="B18:G18"/>
    <mergeCell ref="B19:G19"/>
    <mergeCell ref="B20:G20"/>
    <mergeCell ref="B21:G21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2026-03-31T18:40:19Z</dcterms:created>
  <dc:creator>openpyxl</dc:creator>
  <dc:description/>
  <dc:language>en-US</dc:language>
  <cp:lastModifiedBy/>
  <dcterms:modified xsi:type="dcterms:W3CDTF">2026-03-31T18:40:19Z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